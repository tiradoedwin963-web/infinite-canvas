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960"/>
  </bookViews>
  <sheets>
    <sheet name="30秒分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<sst xmlns="http://schemas.openxmlformats.org/spreadsheetml/2006/main" count="174" uniqueCount="159">
  <si>
    <t>《虹山叔和小虹宝的自然研习日》30秒分镜表</t>
  </si>
  <si>
    <t>镜头数</t>
  </si>
  <si>
    <t>总时长</t>
  </si>
  <si>
    <t>校验状态</t>
  </si>
  <si>
    <t>制作规则</t>
  </si>
  <si>
    <t>一次切镜＝一行分镜｜原创学龄前舒缓节奏｜角色无对白｜绝不出现任何BGM</t>
  </si>
  <si>
    <t>场景顺序：图1彩虹步道与山林 → 图2自然教育中心全景 → 图3入口 → 图4负一楼展厅 → 图5华大基因教室 → 图6生态科普廊道 → 图1山林收束</t>
  </si>
  <si>
    <t>镜号</t>
  </si>
  <si>
    <t>时间码</t>
  </si>
  <si>
    <t>时长（秒）</t>
  </si>
  <si>
    <t>参考场景图</t>
  </si>
  <si>
    <t>场景/时间</t>
  </si>
  <si>
    <t>景别与焦段</t>
  </si>
  <si>
    <t>机位与运镜</t>
  </si>
  <si>
    <t>画面构图</t>
  </si>
  <si>
    <t>角色动作与表情</t>
  </si>
  <si>
    <t>旁白</t>
  </si>
  <si>
    <t>环境声与拟声</t>
  </si>
  <si>
    <t>转场/切点</t>
  </si>
  <si>
    <t>连续性与生成限制</t>
  </si>
  <si>
    <t>00:00–00:02</t>
  </si>
  <si>
    <t>图1｜彩虹步道、公园山林</t>
  </si>
  <si>
    <t>外景·虹桥公园山林·清晨</t>
  </si>
  <si>
    <t>高空极大全景｜24mm</t>
  </si>
  <si>
    <t>高空俯拍，摄影机沿鲜红色彩虹步道缓慢下降并向山林推进；运动平稳、像被晨风托住。</t>
  </si>
  <si>
    <t>红色步道形成贯穿绿色山林的主引导线；薄雾分出前、中、后景，远处自然教育中心只作弱化轮廓。</t>
  </si>
  <si>
    <t>虹山叔与小虹宝暂时只作为步道上的一大一小两个彩色点出现；树冠随晨风轻摆，建立安静、安全的清晨环境。</t>
  </si>
  <si>
    <t>无。</t>
  </si>
  <si>
    <t>远处鸟鸣、树叶沙沙、轻微晨风与一颗露珠落下的“叮咚”；无BGM。</t>
  </si>
  <si>
    <t>露珠落入叶面形成圆形水纹；水纹扩散匹配切入镜2中小虹宝圆润的眼睛。</t>
  </si>
  <si>
    <t>严格依据图1保留红色高架步道、山林密度和阴天清晨层次；不增加奇幻建筑、强阳光或陌生IP。</t>
  </si>
  <si>
    <t>00:02–00:04</t>
  </si>
  <si>
    <t>外景·彩虹步道·清晨</t>
  </si>
  <si>
    <t>双人中近景｜50mm</t>
  </si>
  <si>
    <t>眼平机位轻微推进；摄影机停在虹山叔胸口高度，让小虹宝处于画面上方黄金点。</t>
  </si>
  <si>
    <t>虹山叔居中偏下，小虹宝稳稳站在头顶；前景叶片轻轻晃动，背景步道和山林柔和虚化。</t>
  </si>
  <si>
    <t>虹山叔缓缓睁眼；小虹宝听见树叶、虫鸣和鸟声后竖起身体，依次向左、向右、向上看三次。虹山叔抬眼温和回应。</t>
  </si>
  <si>
    <t>“清晨，小虹宝听见山林的邀请。”</t>
  </si>
  <si>
    <t>三层声音依次出现：树叶“沙沙”、昆虫“嗡嗡”、小鸟“啾啾”；小虹宝转头配合三次轻柔“啵”。</t>
  </si>
  <si>
    <t>小虹宝最后望向画面右前方；摄影机沿其视线快速掠过红色步道，动作切镜3。</t>
  </si>
  <si>
    <t>小虹宝始终站在虹山叔头顶，比例和站位不变；表情好奇而不惊吓，动作圆润、重复、便于低幼观众理解。</t>
  </si>
  <si>
    <t>00:04–00:06</t>
  </si>
  <si>
    <t>图2｜自然教育中心建筑全景</t>
  </si>
  <si>
    <t>外景·自然教育中心·清晨</t>
  </si>
  <si>
    <t>航拍大全景｜28mm</t>
  </si>
  <si>
    <t>摄影机沿红色屋顶缓慢向前滑行并轻微下降，露出被山林包围的弧形建筑。</t>
  </si>
  <si>
    <t>红色屋顶和立面占画面下半部，绿色山体形成背景；虹山叔从步道方向走向入口，小虹宝是头顶鲜明红色识别点。</t>
  </si>
  <si>
    <t>小虹宝看到建筑后兴奋跳起；虹山叔边走边抬起一只大手，稳稳接住它，再轻轻放回头顶，动作完整可读。</t>
  </si>
  <si>
    <t>“虹山叔带它寻找自然的秘密。”</t>
  </si>
  <si>
    <t>小虹宝起跳“噗”、落入手掌“啵”、虹山叔两步沉稳“咚、咚”，山林声逐渐过渡为建筑外部环境声。</t>
  </si>
  <si>
    <t>虹山叔放回小虹宝后继续朝入口行进；建筑屋檐从画面上缘压下，硬切镜4的低机位入口。</t>
  </si>
  <si>
    <t>建筑外形、红色屋顶、玻璃幕墙和山林位置服从图2；小虹宝离开头顶后必须在本镜内明确回到原位。</t>
  </si>
  <si>
    <t>00:06–00:08</t>
  </si>
  <si>
    <t>图3｜自然教育中心入口</t>
  </si>
  <si>
    <t>外景·自然教育中心入口·清晨</t>
  </si>
  <si>
    <t>低机位大全景转中景｜28mm</t>
  </si>
  <si>
    <t>从地面略仰拍红色弧形立面；摄影机贴近虹山叔身后跟进两步，不穿越玻璃或人物。</t>
  </si>
  <si>
    <t>弧形红色立柱形成强烈纵深，玻璃入口位于画面右下；虹山叔和小虹宝的倒影出现在玻璃中。</t>
  </si>
  <si>
    <t>虹山叔迈向入口；小虹宝趴在头顶探身看倒影，倒影中的它同时挥手，小虹宝也开心挥手一次。</t>
  </si>
  <si>
    <t>脚步从室外开阔声变为入口近声；小虹宝挥手配一声轻小“嗨咻”，玻璃门开启发出柔和滑动声。</t>
  </si>
  <si>
    <t>一根红色建筑立柱从右向左完全遮满画面，利用同色遮挡切入镜5展厅红色展墙。</t>
  </si>
  <si>
    <t>严格保留图3弧形立面、红色竖向构件和玻璃入口；倒影动作同步，不生成第二组实体角色。</t>
  </si>
  <si>
    <t>00:08–00:10</t>
  </si>
  <si>
    <t>图4｜负一楼展厅内部</t>
  </si>
  <si>
    <t>内景·负一楼展厅·清晨</t>
  </si>
  <si>
    <t>对称大全景｜24mm</t>
  </si>
  <si>
    <t>红色遮挡退开后，摄影机沿展厅主通道缓慢前移；机位保持虹山叔胸口高度。</t>
  </si>
  <si>
    <t>左侧绿色种子展区、右侧红色动物展区与中央通道形成清楚分区；虹山叔带着小虹宝从画面后方进入。</t>
  </si>
  <si>
    <t>小虹宝在头顶左右摆动，依次看向绿色和红色展区；虹山叔放慢脚步，伸手示意先看绿色种子展陈。</t>
  </si>
  <si>
    <t>展厅低声回响、两步脚步和透明展示装置的轻微“叮”；室外自然声在入口处自然淡出。</t>
  </si>
  <si>
    <t>摄影机停在透明种子装置前；一颗种子进入画面中心，切镜6近景。</t>
  </si>
  <si>
    <t>展厅必须依据图4保留绿色、红色展墙和工业顶面；不重排展陈，不生成无法辨认的错误大字。</t>
  </si>
  <si>
    <t>00:10–00:12</t>
  </si>
  <si>
    <t>图4｜绿色种子展区</t>
  </si>
  <si>
    <t>双人中景｜50mm</t>
  </si>
  <si>
    <t>侧面固定机位，先聚焦透明种子装置，再将焦点转到虹山叔和小虹宝。</t>
  </si>
  <si>
    <t>种子装置占前景左侧，虹山叔居右；小虹宝在头顶俯身观察，形成“大角色稳、小角色动”的对比。</t>
  </si>
  <si>
    <t>虹山叔指向种子，再用双手做出小小圆形和大大树冠两个动作；小虹宝跟着先缩肩，再努力张开双臂。</t>
  </si>
  <si>
    <t>“一颗种子，也藏着一片森林。”</t>
  </si>
  <si>
    <t>手指靠近展陈时一声“叮”；虹山叔动作配柔和衣料声，小虹宝模仿时发出两声轻快“嗯、噗”。</t>
  </si>
  <si>
    <t>小虹宝缩成圆团的动作继续到镜7，动作切到更宽的安全展示台构图。</t>
  </si>
  <si>
    <t>不让角色直接触摸或取走真实展品；文字只保留为背景视觉，不让模型生成新的可读说明文字。</t>
  </si>
  <si>
    <t>00:12–00:14</t>
  </si>
  <si>
    <t>内景·种子展区·清晨</t>
  </si>
  <si>
    <t>全身中景｜35mm</t>
  </si>
  <si>
    <t>摄影机固定，略低于展示台；用完整两秒呈现一次“种子—发芽—回到头顶”的重复动作。</t>
  </si>
  <si>
    <t>虹山叔站在右侧并伸出手掌；低矮安全展示台在左，小虹宝位于两者之间，背景绿色展墙保持清晰识别。</t>
  </si>
  <si>
    <t>小虹宝从头顶跳到展示台，缩成圆团停半拍，再“噗”地展开双臂模仿发芽；随后跳进虹山叔掌心，被放回头顶。</t>
  </si>
  <si>
    <t>落台“啵”、缩起“咕噜”、展开“噗”、落入掌心“啪嗒”；声音柔软、可爱，不使用弹簧或爆炸声。</t>
  </si>
  <si>
    <t>虹山叔抬高手掌时，透明种子装置的圆形边缘遮住画面，圆形匹配切入镜8教室观察镜。</t>
  </si>
  <si>
    <t>小虹宝只在本镜离开头顶，镜尾必须回到固定站位；跳跃高度低、落点清楚，不翻滚、不摔倒。</t>
  </si>
  <si>
    <t>00:14–00:16</t>
  </si>
  <si>
    <t>图5｜华大基因教室</t>
  </si>
  <si>
    <t>内景·华大基因教室·日</t>
  </si>
  <si>
    <t>对称大全景｜28mm</t>
  </si>
  <si>
    <t>由圆形遮挡退开，摄影机沿教室中轴缓慢推进；机位约为儿童坐姿高度。</t>
  </si>
  <si>
    <t>两侧实验桌和墙面时间轴形成对称纵深；虹山叔坐在前景实验台，小虹宝仍站在头顶，背景人群全部虚化。</t>
  </si>
  <si>
    <t>虹山叔把一片自然掉落的叶子放到安全观察镜下，小心调整旋钮；小虹宝扶住他的额头向前探身。</t>
  </si>
  <si>
    <t>教室轻微人声底噪、纸张摩擦和旋钮“咔哒”；声音柔和，不出现嘈杂课堂或危险实验音。</t>
  </si>
  <si>
    <t>摄影机沿小虹宝视线靠近观察镜，圆形镜筒边缘逐渐包围画面，连续推进镜9。</t>
  </si>
  <si>
    <t>背景人物只作模糊剪影，不生成清晰陌生人面孔；实验台无明火、尖锐器具、药剂或危险设备。</t>
  </si>
  <si>
    <t>00:16–00:19</t>
  </si>
  <si>
    <t>内景·观察镜视野·日</t>
  </si>
  <si>
    <t>微观特写｜85mm视觉</t>
  </si>
  <si>
    <t>摄影机穿过圆形观察视野，沿一条主叶脉缓慢前进，再平稳分向两条支脉；不切镜、不高速飞行。</t>
  </si>
  <si>
    <t>圆形视野内，绿色叶脉像山林小路向四周延伸；画面边缘保留虹山叔与小虹宝轻微倒影，真实材质优先。</t>
  </si>
  <si>
    <t>画外的虹山叔轻点观察记录；小虹宝随叶脉方向向左摆、向右摆，最后挺直身体，完成“看见—跟随—明白”的三拍反应。</t>
  </si>
  <si>
    <t>“课堂里的发现，要到山林寻找答案。”</t>
  </si>
  <si>
    <t>细微叶片摩擦、铅笔轻点和小虹宝左右摆动“咿、呀”；结尾提前进入林间鸟鸣与风声。</t>
  </si>
  <si>
    <t>一条叶脉延伸至画面尽头，图形匹配切成镜10真实林间小径。</t>
  </si>
  <si>
    <t>叶脉基于自然结构，不形成发光魔法道路、DNA文字或太极图；小虹宝不离开虹山叔头顶。</t>
  </si>
  <si>
    <t>00:19–00:21</t>
  </si>
  <si>
    <t>图6｜生态科普廊道</t>
  </si>
  <si>
    <t>外景·生态科普廊道·上午</t>
  </si>
  <si>
    <t>林间大全景｜28mm</t>
  </si>
  <si>
    <t>摄影机贴近小径向前低速滑行，穿过一层前景树叶后找到虹山叔和小虹宝。</t>
  </si>
  <si>
    <t>真实林间小径从前景延伸至后景，科普牌位于画面右侧；人物处于中央偏左，阳光形成柔和光斑。</t>
  </si>
  <si>
    <t>虹山叔稳稳进入廊道；小虹宝先看科普牌，再低头发现叶片上的小昆虫，兴奋地向前探身。</t>
  </si>
  <si>
    <t>林间风声、脚踩落叶“沙沙”、远处人声和一声细小虫鸣；自然声从教室声桥无缝接入。</t>
  </si>
  <si>
    <t>小虹宝探身方向切到镜11的叶片近景，保持人物与昆虫的左右关系。</t>
  </si>
  <si>
    <t>保留图6真实林木、小径和科普牌位置；背景游客弱化，不生成清晰肖像或拥挤人群。</t>
  </si>
  <si>
    <t>00:21–00:23</t>
  </si>
  <si>
    <t>外景·林间叶片旁·上午</t>
  </si>
  <si>
    <t>双人近景带昆虫前景｜70mm</t>
  </si>
  <si>
    <t>摄影机位于叶片侧后方，昆虫清晰处于前景，虹山叔与小虹宝位于景深后方；镜头完全固定。</t>
  </si>
  <si>
    <t>叶片和小昆虫占画面左下，虹山叔居右；小虹宝从头顶前倾，但与昆虫保持明显安全距离。</t>
  </si>
  <si>
    <t>小虹宝想靠近，虹山叔温柔抬起一根手指示意停下；小虹宝立即缩回，学着虹山叔静静观察。昆虫自然爬过叶片。</t>
  </si>
  <si>
    <t>“轻轻看，静静听，每个生命都有故事。”</t>
  </si>
  <si>
    <t>昆虫爬行的细小叶面声、虹山叔手指抬起的衣料声和小虹宝急停“啵”；不添加昆虫对白。</t>
  </si>
  <si>
    <t>树冠传来一声鸟鸣，两个角色同时抬眼；以视线和鸟鸣声桥切镜12。</t>
  </si>
  <si>
    <t>不触摸、捕捉或追逐昆虫；昆虫保持真实比例和行为，不拟人、不微笑、不做手势。</t>
  </si>
  <si>
    <t>00:23–00:26</t>
  </si>
  <si>
    <t>外景·林间树冠·上午</t>
  </si>
  <si>
    <t>双人中景转仰视远景｜50mm</t>
  </si>
  <si>
    <t>从虹山叔肩侧开始，摄影机随两者视线缓慢上摇至树冠；运动到枝头后停住半拍。</t>
  </si>
  <si>
    <t>虹山叔和小虹宝在画面下方形成一大一小剪影，树冠占上半部；一只真实小鸟停在远处枝头。</t>
  </si>
  <si>
    <t>小虹宝双手放在耳边，虹山叔抬头；两者同时停止动作安静倾听。小鸟鸣叫后飞离，小虹宝只挥手，不追赶。</t>
  </si>
  <si>
    <t>两声清脆鸟鸣、树叶摩擦、远处流水；挥手仅配极轻衣料声，保持一秒安静让儿童听清自然声音。</t>
  </si>
  <si>
    <t>小鸟飞向画面左上并掠过镜头，翅膀遮挡切回镜13图1的山林天空。</t>
  </si>
  <si>
    <t>小鸟不说话、不做拟人表演；角色保持距离，虹山叔、小虹宝的颜色和比例延续全部前镜。</t>
  </si>
  <si>
    <t>00:26–00:28</t>
  </si>
  <si>
    <t>外景·彩虹步道·上午</t>
  </si>
  <si>
    <t>高位双人中远景｜35mm</t>
  </si>
  <si>
    <t>鸟翼遮挡退开，摄影机在彩虹步道上方平稳侧移，重新找到并肩面向山林的两个角色。</t>
  </si>
  <si>
    <t>红色步道横贯画面，绿色山林层层展开；虹山叔居中，小虹宝稳稳站在头顶，远处小鸟飞过。</t>
  </si>
  <si>
    <t>小虹宝俯下身体，亲昵抱住虹山叔头顶；虹山叔抬眼看它，白色小胡须微微翘起，两者停半拍共享发现。</t>
  </si>
  <si>
    <t>“他们又交到了新朋友。”</t>
  </si>
  <si>
    <t>鸟鸣渐远、虫鸣与树叶声回归；拥抱配柔和“嗯——”，虹山叔发出满足的轻呼吸。</t>
  </si>
  <si>
    <t>拥抱完成后，摄影机开始向后上方移动，连续动作切入镜14更大的全景尺度。</t>
  </si>
  <si>
    <t>角色站位与镜12结束一致；小虹宝不得突然出现在地面或肩膀，不增加第三个拟人角色。</t>
  </si>
  <si>
    <t>00:28–00:30</t>
  </si>
  <si>
    <t>外景·虹桥公园·上午</t>
  </si>
  <si>
    <t>升高后拉极大全景｜20mm</t>
  </si>
  <si>
    <t>摄影机沿彩虹步道轴线缓慢升高并后拉，最后显露红色步道穿越大片山林的完整关系；不旋转、不炫技。</t>
  </si>
  <si>
    <t>虹山叔与小虹宝逐渐缩小为步道中央的一绿一红两个清晰色点；山林占画面主体，步道成为品牌识别线。</t>
  </si>
  <si>
    <t>虹山叔与小虹宝保持拥抱后共同望向山林；树叶轻摆，小鸟越过步道，画面在动作仍有生命力时渐隐。</t>
  </si>
  <si>
    <t>树叶、虫鸣、鸟鸣和远处流水逐层融合；最后一声柔和“叮”后自然归零，无BGM。</t>
  </si>
  <si>
    <t>第30秒画面渐隐至公园主色背景，片名或品牌文字仅由后期另行添加。</t>
  </si>
  <si>
    <t>严格依据图1保留红色步道与真实山林；不生成文字、水印、强闪烁、魔法光点或突然出现的人群。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</si>
</sst>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秒&quot;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F3E35"/>
      <name val="Carlito"/>
      <charset val="134"/>
    </font>
    <font>
      <sz val="11"/>
      <color rgb="FF47665B"/>
      <name val="Carlito"/>
      <charset val="134"/>
    </font>
    <font>
      <b/>
      <sz val="11"/>
      <color rgb="FF1F4D3C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D3C"/>
        <bgColor indexed="64"/>
      </patternFill>
    </fill>
    <fill>
      <patternFill patternType="solid">
        <fgColor rgb="FFE9F1ED"/>
        <bgColor indexed="64"/>
      </patternFill>
    </fill>
    <fill>
      <patternFill patternType="solid">
        <fgColor rgb="FFF6F8F7"/>
        <bgColor indexed="64"/>
      </patternFill>
    </fill>
    <fill>
      <patternFill patternType="solid">
        <fgColor rgb="FF315D4E"/>
        <bgColor indexed="64"/>
      </patternFill>
    </fill>
    <fill>
      <patternFill patternType="solid">
        <fgColor rgb="FFEDF5E9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7F3EF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E4F0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1F4D3C"/>
      </left>
      <right/>
      <top style="medium">
        <color rgb="FF1F4D3C"/>
      </top>
      <bottom style="medium">
        <color rgb="FF1F4D3C"/>
      </bottom>
      <diagonal/>
    </border>
    <border>
      <left/>
      <right/>
      <top style="medium">
        <color rgb="FF1F4D3C"/>
      </top>
      <bottom style="medium">
        <color rgb="FF1F4D3C"/>
      </bottom>
      <diagonal/>
    </border>
    <border>
      <left/>
      <right/>
      <top/>
      <bottom style="thin">
        <color rgb="FFCED9D4"/>
      </bottom>
      <diagonal/>
    </border>
    <border>
      <left/>
      <right/>
      <top style="thin">
        <color rgb="FFCED9D4"/>
      </top>
      <bottom style="thin">
        <color rgb="FFCED9D4"/>
      </bottom>
      <diagonal/>
    </border>
    <border>
      <left/>
      <right/>
      <top style="thin">
        <color rgb="FFCED9D4"/>
      </top>
      <bottom style="thin">
        <color rgb="FFAFC1B9"/>
      </bottom>
      <diagonal/>
    </border>
    <border>
      <left/>
      <right style="medium">
        <color rgb="FF1F4D3C"/>
      </right>
      <top style="medium">
        <color rgb="FF1F4D3C"/>
      </top>
      <bottom style="medium">
        <color rgb="FF1F4D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10" applyNumberFormat="0" applyAlignment="0" applyProtection="0">
      <alignment vertical="center"/>
    </xf>
    <xf numFmtId="0" fontId="15" fillId="13" borderId="11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7" fillId="14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/>
    </xf>
    <xf numFmtId="176" fontId="2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horizontal="left" vertical="center" wrapText="1"/>
    </xf>
    <xf numFmtId="0" fontId="1" fillId="5" borderId="1" xfId="49" applyNumberFormat="1" applyFont="1" applyFill="1" applyBorder="1" applyAlignment="1">
      <alignment horizontal="center" vertical="center" wrapText="1"/>
    </xf>
    <xf numFmtId="0" fontId="1" fillId="5" borderId="2" xfId="49" applyNumberFormat="1" applyFont="1" applyFill="1" applyBorder="1" applyAlignment="1">
      <alignment horizontal="center" vertical="center" wrapText="1"/>
    </xf>
    <xf numFmtId="0" fontId="4" fillId="6" borderId="3" xfId="49" applyNumberFormat="1" applyFont="1" applyFill="1" applyBorder="1" applyAlignment="1">
      <alignment horizontal="center" vertical="top" wrapText="1"/>
    </xf>
    <xf numFmtId="0" fontId="0" fillId="6" borderId="3" xfId="49" applyNumberFormat="1" applyFont="1" applyFill="1" applyBorder="1" applyAlignment="1">
      <alignment horizontal="center" vertical="top" wrapText="1"/>
    </xf>
    <xf numFmtId="176" fontId="0" fillId="6" borderId="3" xfId="49" applyNumberFormat="1" applyFont="1" applyFill="1" applyBorder="1" applyAlignment="1">
      <alignment horizontal="center" vertical="top" wrapText="1"/>
    </xf>
    <xf numFmtId="0" fontId="4" fillId="6" borderId="4" xfId="49" applyNumberFormat="1" applyFont="1" applyFill="1" applyBorder="1" applyAlignment="1">
      <alignment horizontal="center" vertical="top" wrapText="1"/>
    </xf>
    <xf numFmtId="0" fontId="0" fillId="6" borderId="4" xfId="49" applyNumberFormat="1" applyFont="1" applyFill="1" applyBorder="1" applyAlignment="1">
      <alignment horizontal="center" vertical="top" wrapText="1"/>
    </xf>
    <xf numFmtId="176" fontId="0" fillId="6" borderId="4" xfId="49" applyNumberFormat="1" applyFont="1" applyFill="1" applyBorder="1" applyAlignment="1">
      <alignment horizontal="center" vertical="top" wrapText="1"/>
    </xf>
    <xf numFmtId="0" fontId="4" fillId="7" borderId="4" xfId="49" applyNumberFormat="1" applyFont="1" applyFill="1" applyBorder="1" applyAlignment="1">
      <alignment horizontal="center" vertical="top" wrapText="1"/>
    </xf>
    <xf numFmtId="0" fontId="0" fillId="7" borderId="4" xfId="49" applyNumberFormat="1" applyFont="1" applyFill="1" applyBorder="1" applyAlignment="1">
      <alignment horizontal="center" vertical="top" wrapText="1"/>
    </xf>
    <xf numFmtId="176" fontId="0" fillId="7" borderId="4" xfId="49" applyNumberFormat="1" applyFont="1" applyFill="1" applyBorder="1" applyAlignment="1">
      <alignment horizontal="center" vertical="top" wrapText="1"/>
    </xf>
    <xf numFmtId="0" fontId="4" fillId="8" borderId="4" xfId="49" applyNumberFormat="1" applyFont="1" applyFill="1" applyBorder="1" applyAlignment="1">
      <alignment horizontal="center" vertical="top" wrapText="1"/>
    </xf>
    <xf numFmtId="0" fontId="0" fillId="8" borderId="4" xfId="49" applyNumberFormat="1" applyFont="1" applyFill="1" applyBorder="1" applyAlignment="1">
      <alignment horizontal="center" vertical="top" wrapText="1"/>
    </xf>
    <xf numFmtId="176" fontId="0" fillId="8" borderId="4" xfId="49" applyNumberFormat="1" applyFont="1" applyFill="1" applyBorder="1" applyAlignment="1">
      <alignment horizontal="center" vertical="top" wrapText="1"/>
    </xf>
    <xf numFmtId="0" fontId="4" fillId="9" borderId="4" xfId="49" applyNumberFormat="1" applyFont="1" applyFill="1" applyBorder="1" applyAlignment="1">
      <alignment horizontal="center" vertical="top" wrapText="1"/>
    </xf>
    <xf numFmtId="0" fontId="0" fillId="9" borderId="4" xfId="49" applyNumberFormat="1" applyFont="1" applyFill="1" applyBorder="1" applyAlignment="1">
      <alignment horizontal="center" vertical="top" wrapText="1"/>
    </xf>
    <xf numFmtId="176" fontId="0" fillId="9" borderId="4" xfId="49" applyNumberFormat="1" applyFont="1" applyFill="1" applyBorder="1" applyAlignment="1">
      <alignment horizontal="center" vertical="top" wrapText="1"/>
    </xf>
    <xf numFmtId="0" fontId="4" fillId="10" borderId="4" xfId="49" applyNumberFormat="1" applyFont="1" applyFill="1" applyBorder="1" applyAlignment="1">
      <alignment horizontal="center" vertical="top" wrapText="1"/>
    </xf>
    <xf numFmtId="0" fontId="0" fillId="10" borderId="4" xfId="49" applyNumberFormat="1" applyFont="1" applyFill="1" applyBorder="1" applyAlignment="1">
      <alignment horizontal="center" vertical="top" wrapText="1"/>
    </xf>
    <xf numFmtId="176" fontId="0" fillId="10" borderId="4" xfId="49" applyNumberFormat="1" applyFont="1" applyFill="1" applyBorder="1" applyAlignment="1">
      <alignment horizontal="center" vertical="top" wrapText="1"/>
    </xf>
    <xf numFmtId="0" fontId="4" fillId="6" borderId="5" xfId="49" applyNumberFormat="1" applyFont="1" applyFill="1" applyBorder="1" applyAlignment="1">
      <alignment horizontal="center" vertical="top" wrapText="1"/>
    </xf>
    <xf numFmtId="0" fontId="0" fillId="6" borderId="5" xfId="49" applyNumberFormat="1" applyFont="1" applyFill="1" applyBorder="1" applyAlignment="1">
      <alignment horizontal="center" vertical="top" wrapText="1"/>
    </xf>
    <xf numFmtId="176" fontId="0" fillId="6" borderId="5" xfId="49" applyNumberFormat="1" applyFont="1" applyFill="1" applyBorder="1" applyAlignment="1">
      <alignment horizontal="center" vertical="top" wrapText="1"/>
    </xf>
    <xf numFmtId="0" fontId="0" fillId="6" borderId="3" xfId="49" applyNumberFormat="1" applyFont="1" applyFill="1" applyBorder="1" applyAlignment="1">
      <alignment horizontal="left" vertical="top" wrapText="1"/>
    </xf>
    <xf numFmtId="0" fontId="0" fillId="6" borderId="4" xfId="49" applyNumberFormat="1" applyFont="1" applyFill="1" applyBorder="1" applyAlignment="1">
      <alignment horizontal="left" vertical="top" wrapText="1"/>
    </xf>
    <xf numFmtId="0" fontId="0" fillId="7" borderId="4" xfId="49" applyNumberFormat="1" applyFont="1" applyFill="1" applyBorder="1" applyAlignment="1">
      <alignment horizontal="left" vertical="top" wrapText="1"/>
    </xf>
    <xf numFmtId="0" fontId="0" fillId="8" borderId="4" xfId="49" applyNumberFormat="1" applyFont="1" applyFill="1" applyBorder="1" applyAlignment="1">
      <alignment horizontal="left" vertical="top" wrapText="1"/>
    </xf>
    <xf numFmtId="0" fontId="0" fillId="9" borderId="4" xfId="49" applyNumberFormat="1" applyFont="1" applyFill="1" applyBorder="1" applyAlignment="1">
      <alignment horizontal="left" vertical="top" wrapText="1"/>
    </xf>
    <xf numFmtId="0" fontId="0" fillId="10" borderId="4" xfId="49" applyNumberFormat="1" applyFont="1" applyFill="1" applyBorder="1" applyAlignment="1">
      <alignment horizontal="left" vertical="top" wrapText="1"/>
    </xf>
    <xf numFmtId="0" fontId="0" fillId="6" borderId="5" xfId="49" applyNumberFormat="1" applyFont="1" applyFill="1" applyBorder="1" applyAlignment="1">
      <alignment horizontal="left" vertical="top" wrapText="1"/>
    </xf>
    <xf numFmtId="0" fontId="1" fillId="5" borderId="6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tabSelected="1" zoomScale="70" zoomScaleNormal="70" workbookViewId="0">
      <selection activeCell="C5" sqref="C5"/>
    </sheetView>
  </sheetViews>
  <sheetFormatPr defaultColWidth="9" defaultRowHeight="16.8"/>
  <cols>
    <col min="1" max="1" width="8" customWidth="1"/>
    <col min="2" max="2" width="16" customWidth="1"/>
    <col min="3" max="3" width="11" customWidth="1"/>
    <col min="4" max="5" width="24" customWidth="1"/>
    <col min="6" max="6" width="22" customWidth="1"/>
    <col min="7" max="8" width="40" customWidth="1"/>
    <col min="9" max="9" width="50" customWidth="1"/>
    <col min="10" max="10" width="31" customWidth="1"/>
    <col min="11" max="11" width="43" customWidth="1"/>
    <col min="12" max="12" width="38" customWidth="1"/>
    <col min="13" max="13" width="48" customWidth="1"/>
  </cols>
  <sheetData>
    <row r="1" ht="34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>
      <c r="A2" s="2" t="s">
        <v>1</v>
      </c>
      <c r="B2" s="2">
        <f>COUNTA(A6:A19)</f>
        <v>14</v>
      </c>
      <c r="C2" s="2" t="s">
        <v>2</v>
      </c>
      <c r="D2" s="3">
        <f>SUM(C6:C19)</f>
        <v>30</v>
      </c>
      <c r="E2" s="2" t="s">
        <v>3</v>
      </c>
      <c r="F2" s="2" t="str">
        <f>IF(AND(B2=14,D2=30),"通过","需检查")</f>
        <v>通过</v>
      </c>
      <c r="G2" s="2" t="s">
        <v>4</v>
      </c>
      <c r="H2" s="2" t="s">
        <v>5</v>
      </c>
      <c r="I2" s="2"/>
      <c r="J2" s="2"/>
      <c r="K2" s="2"/>
      <c r="L2" s="2"/>
      <c r="M2" s="2"/>
    </row>
    <row r="3" ht="32" customHeight="1" spans="1:13">
      <c r="A3" s="4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0" customHeight="1"/>
    <row r="5" ht="38" customHeight="1" spans="1:13">
      <c r="A5" s="5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35" t="s">
        <v>19</v>
      </c>
    </row>
    <row r="6" ht="108" customHeight="1" spans="1:13">
      <c r="A6" s="7">
        <v>1</v>
      </c>
      <c r="B6" s="8" t="s">
        <v>20</v>
      </c>
      <c r="C6" s="9">
        <v>2</v>
      </c>
      <c r="D6" s="8" t="s">
        <v>21</v>
      </c>
      <c r="E6" s="8" t="s">
        <v>22</v>
      </c>
      <c r="F6" s="8" t="s">
        <v>23</v>
      </c>
      <c r="G6" s="28" t="s">
        <v>24</v>
      </c>
      <c r="H6" s="28" t="s">
        <v>25</v>
      </c>
      <c r="I6" s="28" t="s">
        <v>26</v>
      </c>
      <c r="J6" s="28" t="s">
        <v>27</v>
      </c>
      <c r="K6" s="28" t="s">
        <v>28</v>
      </c>
      <c r="L6" s="28" t="s">
        <v>29</v>
      </c>
      <c r="M6" s="28" t="s">
        <v>30</v>
      </c>
    </row>
    <row r="7" ht="108" customHeight="1" spans="1:13">
      <c r="A7" s="10">
        <v>2</v>
      </c>
      <c r="B7" s="11" t="s">
        <v>31</v>
      </c>
      <c r="C7" s="12">
        <v>2</v>
      </c>
      <c r="D7" s="11" t="s">
        <v>21</v>
      </c>
      <c r="E7" s="11" t="s">
        <v>32</v>
      </c>
      <c r="F7" s="11" t="s">
        <v>33</v>
      </c>
      <c r="G7" s="29" t="s">
        <v>34</v>
      </c>
      <c r="H7" s="29" t="s">
        <v>35</v>
      </c>
      <c r="I7" s="29" t="s">
        <v>36</v>
      </c>
      <c r="J7" s="29" t="s">
        <v>37</v>
      </c>
      <c r="K7" s="29" t="s">
        <v>38</v>
      </c>
      <c r="L7" s="29" t="s">
        <v>39</v>
      </c>
      <c r="M7" s="29" t="s">
        <v>40</v>
      </c>
    </row>
    <row r="8" ht="108" customHeight="1" spans="1:13">
      <c r="A8" s="13">
        <v>3</v>
      </c>
      <c r="B8" s="14" t="s">
        <v>41</v>
      </c>
      <c r="C8" s="15">
        <v>2</v>
      </c>
      <c r="D8" s="14" t="s">
        <v>42</v>
      </c>
      <c r="E8" s="14" t="s">
        <v>43</v>
      </c>
      <c r="F8" s="14" t="s">
        <v>44</v>
      </c>
      <c r="G8" s="30" t="s">
        <v>45</v>
      </c>
      <c r="H8" s="30" t="s">
        <v>46</v>
      </c>
      <c r="I8" s="30" t="s">
        <v>47</v>
      </c>
      <c r="J8" s="30" t="s">
        <v>48</v>
      </c>
      <c r="K8" s="30" t="s">
        <v>49</v>
      </c>
      <c r="L8" s="30" t="s">
        <v>50</v>
      </c>
      <c r="M8" s="30" t="s">
        <v>51</v>
      </c>
    </row>
    <row r="9" ht="108" customHeight="1" spans="1:13">
      <c r="A9" s="13">
        <v>4</v>
      </c>
      <c r="B9" s="14" t="s">
        <v>52</v>
      </c>
      <c r="C9" s="15">
        <v>2</v>
      </c>
      <c r="D9" s="14" t="s">
        <v>53</v>
      </c>
      <c r="E9" s="14" t="s">
        <v>54</v>
      </c>
      <c r="F9" s="14" t="s">
        <v>55</v>
      </c>
      <c r="G9" s="30" t="s">
        <v>56</v>
      </c>
      <c r="H9" s="30" t="s">
        <v>57</v>
      </c>
      <c r="I9" s="30" t="s">
        <v>58</v>
      </c>
      <c r="J9" s="30" t="s">
        <v>27</v>
      </c>
      <c r="K9" s="30" t="s">
        <v>59</v>
      </c>
      <c r="L9" s="30" t="s">
        <v>60</v>
      </c>
      <c r="M9" s="30" t="s">
        <v>61</v>
      </c>
    </row>
    <row r="10" ht="108" customHeight="1" spans="1:13">
      <c r="A10" s="16">
        <v>5</v>
      </c>
      <c r="B10" s="17" t="s">
        <v>62</v>
      </c>
      <c r="C10" s="18">
        <v>2</v>
      </c>
      <c r="D10" s="17" t="s">
        <v>63</v>
      </c>
      <c r="E10" s="17" t="s">
        <v>64</v>
      </c>
      <c r="F10" s="17" t="s">
        <v>65</v>
      </c>
      <c r="G10" s="31" t="s">
        <v>66</v>
      </c>
      <c r="H10" s="31" t="s">
        <v>67</v>
      </c>
      <c r="I10" s="31" t="s">
        <v>68</v>
      </c>
      <c r="J10" s="31" t="s">
        <v>27</v>
      </c>
      <c r="K10" s="31" t="s">
        <v>69</v>
      </c>
      <c r="L10" s="31" t="s">
        <v>70</v>
      </c>
      <c r="M10" s="31" t="s">
        <v>71</v>
      </c>
    </row>
    <row r="11" ht="108" customHeight="1" spans="1:13">
      <c r="A11" s="16">
        <v>6</v>
      </c>
      <c r="B11" s="17" t="s">
        <v>72</v>
      </c>
      <c r="C11" s="18">
        <v>2</v>
      </c>
      <c r="D11" s="17" t="s">
        <v>73</v>
      </c>
      <c r="E11" s="17" t="s">
        <v>64</v>
      </c>
      <c r="F11" s="17" t="s">
        <v>74</v>
      </c>
      <c r="G11" s="31" t="s">
        <v>75</v>
      </c>
      <c r="H11" s="31" t="s">
        <v>76</v>
      </c>
      <c r="I11" s="31" t="s">
        <v>77</v>
      </c>
      <c r="J11" s="31" t="s">
        <v>78</v>
      </c>
      <c r="K11" s="31" t="s">
        <v>79</v>
      </c>
      <c r="L11" s="31" t="s">
        <v>80</v>
      </c>
      <c r="M11" s="31" t="s">
        <v>81</v>
      </c>
    </row>
    <row r="12" ht="108" customHeight="1" spans="1:13">
      <c r="A12" s="16">
        <v>7</v>
      </c>
      <c r="B12" s="17" t="s">
        <v>82</v>
      </c>
      <c r="C12" s="18">
        <v>2</v>
      </c>
      <c r="D12" s="17" t="s">
        <v>63</v>
      </c>
      <c r="E12" s="17" t="s">
        <v>83</v>
      </c>
      <c r="F12" s="17" t="s">
        <v>84</v>
      </c>
      <c r="G12" s="31" t="s">
        <v>85</v>
      </c>
      <c r="H12" s="31" t="s">
        <v>86</v>
      </c>
      <c r="I12" s="31" t="s">
        <v>87</v>
      </c>
      <c r="J12" s="31" t="s">
        <v>27</v>
      </c>
      <c r="K12" s="31" t="s">
        <v>88</v>
      </c>
      <c r="L12" s="31" t="s">
        <v>89</v>
      </c>
      <c r="M12" s="31" t="s">
        <v>90</v>
      </c>
    </row>
    <row r="13" ht="108" customHeight="1" spans="1:13">
      <c r="A13" s="19">
        <v>8</v>
      </c>
      <c r="B13" s="20" t="s">
        <v>91</v>
      </c>
      <c r="C13" s="21">
        <v>2</v>
      </c>
      <c r="D13" s="20" t="s">
        <v>92</v>
      </c>
      <c r="E13" s="20" t="s">
        <v>93</v>
      </c>
      <c r="F13" s="20" t="s">
        <v>94</v>
      </c>
      <c r="G13" s="32" t="s">
        <v>95</v>
      </c>
      <c r="H13" s="32" t="s">
        <v>96</v>
      </c>
      <c r="I13" s="32" t="s">
        <v>97</v>
      </c>
      <c r="J13" s="32" t="s">
        <v>27</v>
      </c>
      <c r="K13" s="32" t="s">
        <v>98</v>
      </c>
      <c r="L13" s="32" t="s">
        <v>99</v>
      </c>
      <c r="M13" s="32" t="s">
        <v>100</v>
      </c>
    </row>
    <row r="14" ht="108" customHeight="1" spans="1:13">
      <c r="A14" s="19">
        <v>9</v>
      </c>
      <c r="B14" s="20" t="s">
        <v>101</v>
      </c>
      <c r="C14" s="21">
        <v>3</v>
      </c>
      <c r="D14" s="20" t="s">
        <v>92</v>
      </c>
      <c r="E14" s="20" t="s">
        <v>102</v>
      </c>
      <c r="F14" s="20" t="s">
        <v>103</v>
      </c>
      <c r="G14" s="32" t="s">
        <v>104</v>
      </c>
      <c r="H14" s="32" t="s">
        <v>105</v>
      </c>
      <c r="I14" s="32" t="s">
        <v>106</v>
      </c>
      <c r="J14" s="32" t="s">
        <v>107</v>
      </c>
      <c r="K14" s="32" t="s">
        <v>108</v>
      </c>
      <c r="L14" s="32" t="s">
        <v>109</v>
      </c>
      <c r="M14" s="32" t="s">
        <v>110</v>
      </c>
    </row>
    <row r="15" ht="108" customHeight="1" spans="1:13">
      <c r="A15" s="22">
        <v>10</v>
      </c>
      <c r="B15" s="23" t="s">
        <v>111</v>
      </c>
      <c r="C15" s="24">
        <v>2</v>
      </c>
      <c r="D15" s="23" t="s">
        <v>112</v>
      </c>
      <c r="E15" s="23" t="s">
        <v>113</v>
      </c>
      <c r="F15" s="23" t="s">
        <v>114</v>
      </c>
      <c r="G15" s="33" t="s">
        <v>115</v>
      </c>
      <c r="H15" s="33" t="s">
        <v>116</v>
      </c>
      <c r="I15" s="33" t="s">
        <v>117</v>
      </c>
      <c r="J15" s="33" t="s">
        <v>27</v>
      </c>
      <c r="K15" s="33" t="s">
        <v>118</v>
      </c>
      <c r="L15" s="33" t="s">
        <v>119</v>
      </c>
      <c r="M15" s="33" t="s">
        <v>120</v>
      </c>
    </row>
    <row r="16" ht="108" customHeight="1" spans="1:13">
      <c r="A16" s="22">
        <v>11</v>
      </c>
      <c r="B16" s="23" t="s">
        <v>121</v>
      </c>
      <c r="C16" s="24">
        <v>2</v>
      </c>
      <c r="D16" s="23" t="s">
        <v>112</v>
      </c>
      <c r="E16" s="23" t="s">
        <v>122</v>
      </c>
      <c r="F16" s="23" t="s">
        <v>123</v>
      </c>
      <c r="G16" s="33" t="s">
        <v>124</v>
      </c>
      <c r="H16" s="33" t="s">
        <v>125</v>
      </c>
      <c r="I16" s="33" t="s">
        <v>126</v>
      </c>
      <c r="J16" s="33" t="s">
        <v>127</v>
      </c>
      <c r="K16" s="33" t="s">
        <v>128</v>
      </c>
      <c r="L16" s="33" t="s">
        <v>129</v>
      </c>
      <c r="M16" s="33" t="s">
        <v>130</v>
      </c>
    </row>
    <row r="17" ht="108" customHeight="1" spans="1:13">
      <c r="A17" s="22">
        <v>12</v>
      </c>
      <c r="B17" s="23" t="s">
        <v>131</v>
      </c>
      <c r="C17" s="24">
        <v>3</v>
      </c>
      <c r="D17" s="23" t="s">
        <v>112</v>
      </c>
      <c r="E17" s="23" t="s">
        <v>132</v>
      </c>
      <c r="F17" s="23" t="s">
        <v>133</v>
      </c>
      <c r="G17" s="33" t="s">
        <v>134</v>
      </c>
      <c r="H17" s="33" t="s">
        <v>135</v>
      </c>
      <c r="I17" s="33" t="s">
        <v>136</v>
      </c>
      <c r="J17" s="33" t="s">
        <v>27</v>
      </c>
      <c r="K17" s="33" t="s">
        <v>137</v>
      </c>
      <c r="L17" s="33" t="s">
        <v>138</v>
      </c>
      <c r="M17" s="33" t="s">
        <v>139</v>
      </c>
    </row>
    <row r="18" ht="108" customHeight="1" spans="1:13">
      <c r="A18" s="10">
        <v>13</v>
      </c>
      <c r="B18" s="11" t="s">
        <v>140</v>
      </c>
      <c r="C18" s="12">
        <v>2</v>
      </c>
      <c r="D18" s="11" t="s">
        <v>21</v>
      </c>
      <c r="E18" s="11" t="s">
        <v>141</v>
      </c>
      <c r="F18" s="11" t="s">
        <v>142</v>
      </c>
      <c r="G18" s="29" t="s">
        <v>143</v>
      </c>
      <c r="H18" s="29" t="s">
        <v>144</v>
      </c>
      <c r="I18" s="29" t="s">
        <v>145</v>
      </c>
      <c r="J18" s="29" t="s">
        <v>146</v>
      </c>
      <c r="K18" s="29" t="s">
        <v>147</v>
      </c>
      <c r="L18" s="29" t="s">
        <v>148</v>
      </c>
      <c r="M18" s="29" t="s">
        <v>149</v>
      </c>
    </row>
    <row r="19" ht="108" customHeight="1" spans="1:13">
      <c r="A19" s="25">
        <v>14</v>
      </c>
      <c r="B19" s="26" t="s">
        <v>150</v>
      </c>
      <c r="C19" s="27">
        <v>2</v>
      </c>
      <c r="D19" s="26" t="s">
        <v>21</v>
      </c>
      <c r="E19" s="26" t="s">
        <v>151</v>
      </c>
      <c r="F19" s="26" t="s">
        <v>152</v>
      </c>
      <c r="G19" s="34" t="s">
        <v>153</v>
      </c>
      <c r="H19" s="34" t="s">
        <v>154</v>
      </c>
      <c r="I19" s="34" t="s">
        <v>155</v>
      </c>
      <c r="J19" s="34" t="s">
        <v>27</v>
      </c>
      <c r="K19" s="34" t="s">
        <v>156</v>
      </c>
      <c r="L19" s="34" t="s">
        <v>157</v>
      </c>
      <c r="M19" s="34" t="s">
        <v>158</v>
      </c>
    </row>
  </sheetData>
  <mergeCells count="3">
    <mergeCell ref="A1:M1"/>
    <mergeCell ref="H2:M2"/>
    <mergeCell ref="A3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30秒分镜表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</cp:lastModifiedBy>
  <dcterms:created xsi:type="dcterms:W3CDTF">2026-08-17T22:34:00Z</dcterms:created>
  <dcterms:modified xsi:type="dcterms:W3CDTF">2026-08-18T19:59:42Z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7B94963868201EF02E49846A3C48F9A4_42</vt:lpwstr>
  </property>
</Properties>
</file>